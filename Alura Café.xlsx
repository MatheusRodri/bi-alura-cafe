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ata_alura-cafe_excel\"/>
    </mc:Choice>
  </mc:AlternateContent>
  <xr:revisionPtr revIDLastSave="0" documentId="13_ncr:1_{CA4705C2-D839-42E0-9C3B-BDA964C76885}" xr6:coauthVersionLast="45" xr6:coauthVersionMax="47" xr10:uidLastSave="{00000000-0000-0000-0000-000000000000}"/>
  <bookViews>
    <workbookView xWindow="-120" yWindow="-120" windowWidth="29040" windowHeight="15720" tabRatio="781" xr2:uid="{87BE7180-3E81-4FE5-B433-FFDBA552102C}"/>
  </bookViews>
  <sheets>
    <sheet name="Estoque Café Alura" sheetId="1" r:id="rId1"/>
    <sheet name="Produto" sheetId="2" r:id="rId2"/>
    <sheet name="Fornecedor" sheetId="3" r:id="rId3"/>
  </sheets>
  <definedNames>
    <definedName name="BDProduto">#REF!</definedName>
    <definedName name="BDSaída">#REF!</definedName>
    <definedName name="DataVenda">#REF!</definedName>
    <definedName name="Fornecedor">#REF!</definedName>
    <definedName name="Lista_Produtos">#REF!</definedName>
    <definedName name="Produto">#REF!</definedName>
    <definedName name="TBSAÍ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M9" i="1" l="1"/>
  <c r="M8" i="1"/>
  <c r="G22" i="1"/>
  <c r="F22" i="1"/>
  <c r="F30" i="1"/>
  <c r="E30" i="1"/>
  <c r="E22" i="1"/>
  <c r="G24" i="1"/>
  <c r="G30" i="1" s="1"/>
  <c r="G14" i="1" l="1"/>
  <c r="I14" i="1" s="1"/>
  <c r="L14" i="1"/>
  <c r="M14" i="1" s="1"/>
  <c r="L20" i="1"/>
  <c r="M20" i="1" s="1"/>
  <c r="G20" i="1"/>
  <c r="M32" i="1"/>
  <c r="L32" i="1"/>
  <c r="I32" i="1"/>
  <c r="G32" i="1"/>
  <c r="M18" i="1" l="1"/>
  <c r="L37" i="1"/>
  <c r="M37" i="1" s="1"/>
  <c r="L36" i="1"/>
  <c r="M36" i="1" s="1"/>
  <c r="L34" i="1"/>
  <c r="M34" i="1" s="1"/>
  <c r="L33" i="1"/>
  <c r="M33" i="1" s="1"/>
  <c r="L31" i="1"/>
  <c r="M31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9" i="1"/>
  <c r="L10" i="1"/>
  <c r="M10" i="1" s="1"/>
  <c r="L11" i="1"/>
  <c r="M11" i="1" s="1"/>
  <c r="L12" i="1"/>
  <c r="M12" i="1" s="1"/>
  <c r="L13" i="1"/>
  <c r="M13" i="1" s="1"/>
  <c r="L15" i="1"/>
  <c r="M15" i="1" s="1"/>
  <c r="L16" i="1"/>
  <c r="M16" i="1" s="1"/>
  <c r="L17" i="1"/>
  <c r="M17" i="1" s="1"/>
  <c r="L18" i="1"/>
  <c r="L19" i="1"/>
  <c r="M19" i="1" s="1"/>
  <c r="L21" i="1"/>
  <c r="M21" i="1" s="1"/>
  <c r="L8" i="1"/>
  <c r="G25" i="1"/>
  <c r="L22" i="1" l="1"/>
  <c r="L30" i="1" s="1"/>
  <c r="M22" i="1"/>
  <c r="L35" i="1" l="1"/>
  <c r="L38" i="1" s="1"/>
  <c r="M30" i="1"/>
  <c r="M35" i="1"/>
  <c r="M38" i="1" s="1"/>
  <c r="M40" i="1" s="1"/>
  <c r="I20" i="1"/>
  <c r="L40" i="1" l="1"/>
  <c r="K22" i="1"/>
  <c r="J22" i="1"/>
  <c r="J30" i="1" s="1"/>
  <c r="G21" i="1"/>
  <c r="G19" i="1"/>
  <c r="I19" i="1" s="1"/>
  <c r="E38" i="1"/>
  <c r="G37" i="1"/>
  <c r="I37" i="1" s="1"/>
  <c r="G36" i="1"/>
  <c r="I36" i="1" s="1"/>
  <c r="K35" i="1"/>
  <c r="K38" i="1" s="1"/>
  <c r="J35" i="1"/>
  <c r="J38" i="1" s="1"/>
  <c r="F35" i="1"/>
  <c r="F38" i="1" s="1"/>
  <c r="E35" i="1"/>
  <c r="G34" i="1"/>
  <c r="I34" i="1" s="1"/>
  <c r="G33" i="1"/>
  <c r="I33" i="1" s="1"/>
  <c r="G31" i="1"/>
  <c r="I31" i="1" s="1"/>
  <c r="G29" i="1"/>
  <c r="I29" i="1" s="1"/>
  <c r="G28" i="1"/>
  <c r="I28" i="1" s="1"/>
  <c r="G27" i="1"/>
  <c r="I27" i="1" s="1"/>
  <c r="G26" i="1"/>
  <c r="I26" i="1" s="1"/>
  <c r="I25" i="1"/>
  <c r="G23" i="1"/>
  <c r="I23" i="1" s="1"/>
  <c r="G18" i="1"/>
  <c r="I18" i="1" s="1"/>
  <c r="G17" i="1"/>
  <c r="I17" i="1" s="1"/>
  <c r="G16" i="1"/>
  <c r="I16" i="1" s="1"/>
  <c r="G15" i="1"/>
  <c r="I15" i="1" s="1"/>
  <c r="G13" i="1"/>
  <c r="G12" i="1"/>
  <c r="I12" i="1" s="1"/>
  <c r="G11" i="1"/>
  <c r="I11" i="1" s="1"/>
  <c r="G10" i="1"/>
  <c r="G9" i="1"/>
  <c r="I9" i="1" s="1"/>
  <c r="I8" i="1"/>
  <c r="K40" i="1" l="1"/>
  <c r="I24" i="1"/>
  <c r="K30" i="1"/>
  <c r="I21" i="1"/>
  <c r="F40" i="1"/>
  <c r="E40" i="1"/>
  <c r="J40" i="1"/>
  <c r="I13" i="1"/>
  <c r="I10" i="1"/>
  <c r="G35" i="1" l="1"/>
  <c r="G38" i="1" l="1"/>
  <c r="G40" i="1" s="1"/>
</calcChain>
</file>

<file path=xl/sharedStrings.xml><?xml version="1.0" encoding="utf-8"?>
<sst xmlns="http://schemas.openxmlformats.org/spreadsheetml/2006/main" count="132" uniqueCount="63">
  <si>
    <t>Controle de Estoque Café Alura</t>
  </si>
  <si>
    <t>Informações Fornecedores</t>
  </si>
  <si>
    <t>Mercado Express</t>
  </si>
  <si>
    <t>Frigorífico Z</t>
  </si>
  <si>
    <t>Distribuidora KS</t>
  </si>
  <si>
    <t xml:space="preserve">Data </t>
  </si>
  <si>
    <t>Produto</t>
  </si>
  <si>
    <t>Unidade de</t>
  </si>
  <si>
    <t>Fornecedor</t>
  </si>
  <si>
    <t>Quantidade</t>
  </si>
  <si>
    <t>Saída</t>
  </si>
  <si>
    <t xml:space="preserve">Saldo em </t>
  </si>
  <si>
    <t xml:space="preserve">Estoque </t>
  </si>
  <si>
    <t>Status do</t>
  </si>
  <si>
    <t xml:space="preserve">Custo </t>
  </si>
  <si>
    <t>Preço</t>
  </si>
  <si>
    <t>Valor de</t>
  </si>
  <si>
    <t>Lucro</t>
  </si>
  <si>
    <t>Salgados Gran</t>
  </si>
  <si>
    <t>Compra</t>
  </si>
  <si>
    <t>Medida</t>
  </si>
  <si>
    <t>Estoque</t>
  </si>
  <si>
    <t>Mínimo</t>
  </si>
  <si>
    <t>Unitário</t>
  </si>
  <si>
    <t>Venda</t>
  </si>
  <si>
    <t>Café</t>
  </si>
  <si>
    <t>Unidade</t>
  </si>
  <si>
    <t>Chá</t>
  </si>
  <si>
    <t>Manteiga</t>
  </si>
  <si>
    <t>Leite</t>
  </si>
  <si>
    <t>Caixa</t>
  </si>
  <si>
    <t>Açúcar</t>
  </si>
  <si>
    <t>Kg</t>
  </si>
  <si>
    <t>Mini Pizza</t>
  </si>
  <si>
    <t>Queijo</t>
  </si>
  <si>
    <t>Presunto</t>
  </si>
  <si>
    <t>Mortadela</t>
  </si>
  <si>
    <t>Peito de Peru</t>
  </si>
  <si>
    <t>Requeijão</t>
  </si>
  <si>
    <t>Chocolate</t>
  </si>
  <si>
    <t>Subtotal Mercado Express</t>
  </si>
  <si>
    <t>Pão</t>
  </si>
  <si>
    <t>Coxinha</t>
  </si>
  <si>
    <t>Esfiha</t>
  </si>
  <si>
    <t>Risoles</t>
  </si>
  <si>
    <t>Empada</t>
  </si>
  <si>
    <t>Quibe</t>
  </si>
  <si>
    <t>Pão de queijo</t>
  </si>
  <si>
    <t>Subtotal Salgados Gran</t>
  </si>
  <si>
    <t>Suco de laranja</t>
  </si>
  <si>
    <t>Refrigerante</t>
  </si>
  <si>
    <t>Água</t>
  </si>
  <si>
    <t>Embalagem</t>
  </si>
  <si>
    <t>Cerveja</t>
  </si>
  <si>
    <t>Subtotal Distribuidora KS</t>
  </si>
  <si>
    <t>Hamburguer</t>
  </si>
  <si>
    <t>Frango</t>
  </si>
  <si>
    <t>Subtotal Frigorífico Z</t>
  </si>
  <si>
    <t>Total</t>
  </si>
  <si>
    <t>Dados</t>
  </si>
  <si>
    <t>Registro</t>
  </si>
  <si>
    <t>Entidade</t>
  </si>
  <si>
    <t>Atributos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</si>
</sst>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51932"/>
      <name val="Calibri"/>
      <family val="2"/>
      <scheme val="minor"/>
    </font>
    <font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1932"/>
        <bgColor indexed="64"/>
      </patternFill>
    </fill>
    <fill>
      <patternFill patternType="solid">
        <fgColor rgb="FF093364"/>
        <bgColor indexed="64"/>
      </patternFill>
    </fill>
    <fill>
      <patternFill patternType="solid">
        <fgColor rgb="FFFF25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051932"/>
      </left>
      <right style="medium">
        <color rgb="FF051932"/>
      </right>
      <top style="medium">
        <color rgb="FF051932"/>
      </top>
      <bottom style="medium">
        <color rgb="FF051932"/>
      </bottom>
      <diagonal/>
    </border>
    <border>
      <left style="medium">
        <color rgb="FF051932"/>
      </left>
      <right/>
      <top style="medium">
        <color rgb="FF051932"/>
      </top>
      <bottom style="medium">
        <color rgb="FF051932"/>
      </bottom>
      <diagonal/>
    </border>
    <border>
      <left/>
      <right/>
      <top style="medium">
        <color rgb="FF051932"/>
      </top>
      <bottom style="medium">
        <color rgb="FF051932"/>
      </bottom>
      <diagonal/>
    </border>
    <border>
      <left/>
      <right style="medium">
        <color rgb="FF051932"/>
      </right>
      <top style="medium">
        <color rgb="FF051932"/>
      </top>
      <bottom style="medium">
        <color rgb="FF051932"/>
      </bottom>
      <diagonal/>
    </border>
    <border>
      <left style="medium">
        <color rgb="FF051932"/>
      </left>
      <right style="medium">
        <color rgb="FF051932"/>
      </right>
      <top style="medium">
        <color rgb="FF051932"/>
      </top>
      <bottom/>
      <diagonal/>
    </border>
    <border>
      <left style="medium">
        <color rgb="FF051932"/>
      </left>
      <right style="medium">
        <color rgb="FF051932"/>
      </right>
      <top/>
      <bottom/>
      <diagonal/>
    </border>
    <border>
      <left style="medium">
        <color rgb="FF051932"/>
      </left>
      <right style="medium">
        <color rgb="FF051932"/>
      </right>
      <top/>
      <bottom style="medium">
        <color rgb="FF051932"/>
      </bottom>
      <diagonal/>
    </border>
    <border>
      <left/>
      <right/>
      <top/>
      <bottom style="medium">
        <color indexed="64"/>
      </bottom>
      <diagonal/>
    </border>
    <border>
      <left style="medium">
        <color rgb="FF051932"/>
      </left>
      <right/>
      <top style="medium">
        <color rgb="FF051932"/>
      </top>
      <bottom/>
      <diagonal/>
    </border>
    <border>
      <left/>
      <right/>
      <top style="medium">
        <color rgb="FF051932"/>
      </top>
      <bottom/>
      <diagonal/>
    </border>
    <border>
      <left/>
      <right style="medium">
        <color rgb="FF051932"/>
      </right>
      <top style="medium">
        <color rgb="FF05193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1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/>
    <xf numFmtId="0" fontId="3" fillId="3" borderId="0" xfId="0" applyFont="1" applyFill="1"/>
    <xf numFmtId="0" fontId="0" fillId="4" borderId="1" xfId="0" applyFill="1" applyBorder="1"/>
    <xf numFmtId="14" fontId="0" fillId="3" borderId="1" xfId="0" applyNumberForma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44" fontId="3" fillId="3" borderId="1" xfId="1" applyFont="1" applyFill="1" applyBorder="1" applyAlignment="1">
      <alignment horizontal="center"/>
    </xf>
    <xf numFmtId="164" fontId="3" fillId="3" borderId="1" xfId="0" applyNumberFormat="1" applyFont="1" applyFill="1" applyBorder="1"/>
    <xf numFmtId="164" fontId="3" fillId="3" borderId="1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5" xfId="0" applyFill="1" applyBorder="1"/>
    <xf numFmtId="164" fontId="3" fillId="3" borderId="5" xfId="1" applyNumberFormat="1" applyFont="1" applyFill="1" applyBorder="1" applyAlignment="1">
      <alignment horizontal="center"/>
    </xf>
    <xf numFmtId="164" fontId="3" fillId="3" borderId="5" xfId="0" applyNumberFormat="1" applyFont="1" applyFill="1" applyBorder="1"/>
    <xf numFmtId="14" fontId="0" fillId="5" borderId="0" xfId="0" applyNumberFormat="1" applyFill="1"/>
    <xf numFmtId="0" fontId="3" fillId="5" borderId="0" xfId="0" applyFont="1" applyFill="1" applyAlignment="1">
      <alignment horizontal="center"/>
    </xf>
    <xf numFmtId="0" fontId="0" fillId="5" borderId="0" xfId="0" applyFill="1"/>
    <xf numFmtId="164" fontId="3" fillId="5" borderId="0" xfId="1" applyNumberFormat="1" applyFont="1" applyFill="1" applyBorder="1" applyAlignment="1">
      <alignment horizontal="center"/>
    </xf>
    <xf numFmtId="164" fontId="3" fillId="5" borderId="0" xfId="0" applyNumberFormat="1" applyFont="1" applyFill="1"/>
    <xf numFmtId="14" fontId="0" fillId="3" borderId="5" xfId="0" applyNumberFormat="1" applyFill="1" applyBorder="1"/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/>
    <xf numFmtId="44" fontId="3" fillId="3" borderId="8" xfId="1" applyFont="1" applyFill="1" applyBorder="1" applyAlignment="1">
      <alignment horizontal="center"/>
    </xf>
    <xf numFmtId="164" fontId="3" fillId="3" borderId="13" xfId="1" applyNumberFormat="1" applyFont="1" applyFill="1" applyBorder="1" applyAlignment="1">
      <alignment horizontal="center"/>
    </xf>
    <xf numFmtId="164" fontId="3" fillId="3" borderId="7" xfId="0" applyNumberFormat="1" applyFont="1" applyFill="1" applyBorder="1"/>
    <xf numFmtId="0" fontId="3" fillId="5" borderId="0" xfId="0" applyFont="1" applyFill="1" applyAlignment="1">
      <alignment horizontal="right"/>
    </xf>
    <xf numFmtId="0" fontId="0" fillId="7" borderId="14" xfId="0" applyFill="1" applyBorder="1"/>
    <xf numFmtId="0" fontId="0" fillId="7" borderId="0" xfId="0" applyFill="1"/>
    <xf numFmtId="0" fontId="0" fillId="7" borderId="15" xfId="0" applyFill="1" applyBorder="1"/>
    <xf numFmtId="0" fontId="0" fillId="7" borderId="12" xfId="0" applyFill="1" applyBorder="1"/>
    <xf numFmtId="0" fontId="0" fillId="7" borderId="8" xfId="0" applyFill="1" applyBorder="1"/>
    <xf numFmtId="0" fontId="0" fillId="7" borderId="13" xfId="0" applyFill="1" applyBorder="1"/>
    <xf numFmtId="0" fontId="0" fillId="8" borderId="0" xfId="0" applyFill="1"/>
    <xf numFmtId="0" fontId="0" fillId="8" borderId="14" xfId="0" applyFill="1" applyBorder="1"/>
    <xf numFmtId="0" fontId="0" fillId="8" borderId="15" xfId="0" applyFill="1" applyBorder="1"/>
    <xf numFmtId="0" fontId="0" fillId="0" borderId="0" xfId="0" applyAlignment="1">
      <alignment horizont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9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1"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0"/>
    </tableStyle>
  </tableStyles>
  <colors>
    <mruColors>
      <color rgb="FF093364"/>
      <color rgb="FF051932"/>
      <color rgb="FF68A490"/>
      <color rgb="FF4472C4"/>
      <color rgb="FFBF8F00"/>
      <color rgb="FFF5B68F"/>
      <color rgb="FFFFE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0</xdr:row>
      <xdr:rowOff>152400</xdr:rowOff>
    </xdr:from>
    <xdr:to>
      <xdr:col>2</xdr:col>
      <xdr:colOff>121440</xdr:colOff>
      <xdr:row>3</xdr:row>
      <xdr:rowOff>150445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3B0458E8-35D1-46F8-8A03-2B04B12371D5}"/>
            </a:ext>
          </a:extLst>
        </xdr:cNvPr>
        <xdr:cNvGrpSpPr/>
      </xdr:nvGrpSpPr>
      <xdr:grpSpPr>
        <a:xfrm>
          <a:off x="1001554" y="152400"/>
          <a:ext cx="834386" cy="724326"/>
          <a:chOff x="311150" y="28625"/>
          <a:chExt cx="792000" cy="714325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1D0ADD59-ECBC-9B7C-D0BE-DACE9AC305EE}"/>
              </a:ext>
            </a:extLst>
          </xdr:cNvPr>
          <xdr:cNvSpPr txBox="1"/>
        </xdr:nvSpPr>
        <xdr:spPr>
          <a:xfrm>
            <a:off x="311150" y="526950"/>
            <a:ext cx="792000" cy="216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prstTxWarp prst="textChevronInverted">
              <a:avLst/>
            </a:prstTxWarp>
            <a:spAutoFit/>
          </a:bodyPr>
          <a:lstStyle/>
          <a:p>
            <a:r>
              <a:rPr lang="pt-BR" sz="1100">
                <a:ln>
                  <a:noFill/>
                </a:ln>
                <a:solidFill>
                  <a:schemeClr val="bg1"/>
                </a:solidFill>
                <a:latin typeface="Baguet Script" panose="020B0604020202020204" pitchFamily="2" charset="0"/>
              </a:rPr>
              <a:t>Café Alura</a:t>
            </a: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CD743B2D-3045-82BE-C40F-8B0D641ECE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93126">
            <a:off x="469902" y="28625"/>
            <a:ext cx="438822" cy="5079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94C2-88A4-40E4-9333-53C447B20028}">
  <dimension ref="A1:Q40"/>
  <sheetViews>
    <sheetView tabSelected="1" zoomScale="160" zoomScaleNormal="160" workbookViewId="0">
      <selection activeCell="A31" sqref="A31"/>
    </sheetView>
  </sheetViews>
  <sheetFormatPr defaultColWidth="9.140625" defaultRowHeight="15" x14ac:dyDescent="0.25"/>
  <cols>
    <col min="1" max="1" width="11.28515625" bestFit="1" customWidth="1"/>
    <col min="2" max="2" width="14.42578125" bestFit="1" customWidth="1"/>
    <col min="3" max="3" width="11.42578125" bestFit="1" customWidth="1"/>
    <col min="4" max="4" width="16.140625" bestFit="1" customWidth="1"/>
    <col min="5" max="5" width="11.7109375" bestFit="1" customWidth="1"/>
    <col min="6" max="6" width="6" bestFit="1" customWidth="1"/>
    <col min="7" max="7" width="9.85546875" bestFit="1" customWidth="1"/>
    <col min="8" max="8" width="8.85546875" bestFit="1" customWidth="1"/>
    <col min="9" max="9" width="15.5703125" bestFit="1" customWidth="1"/>
    <col min="10" max="10" width="10.140625" bestFit="1" customWidth="1"/>
    <col min="11" max="11" width="9.85546875" bestFit="1" customWidth="1"/>
    <col min="12" max="12" width="12.5703125" bestFit="1" customWidth="1"/>
    <col min="13" max="13" width="11.42578125" bestFit="1" customWidth="1"/>
    <col min="15" max="15" width="15.28515625" bestFit="1" customWidth="1"/>
    <col min="17" max="17" width="12" bestFit="1" customWidth="1"/>
  </cols>
  <sheetData>
    <row r="1" spans="1:17" ht="21" customHeight="1" x14ac:dyDescent="0.25">
      <c r="A1" s="1"/>
      <c r="B1" s="1"/>
      <c r="C1" s="1"/>
      <c r="D1" s="58" t="s">
        <v>0</v>
      </c>
      <c r="E1" s="58"/>
      <c r="F1" s="58"/>
      <c r="G1" s="58"/>
      <c r="H1" s="58"/>
      <c r="I1" s="1"/>
      <c r="J1" s="1"/>
      <c r="K1" s="1"/>
      <c r="O1" s="63" t="s">
        <v>1</v>
      </c>
      <c r="P1" s="63"/>
      <c r="Q1" s="63"/>
    </row>
    <row r="2" spans="1:17" ht="21" customHeight="1" x14ac:dyDescent="0.25">
      <c r="A2" s="1"/>
      <c r="B2" s="1"/>
      <c r="C2" s="1"/>
      <c r="D2" s="58"/>
      <c r="E2" s="58"/>
      <c r="F2" s="58"/>
      <c r="G2" s="58"/>
      <c r="H2" s="58"/>
      <c r="I2" s="1"/>
      <c r="J2" s="1"/>
      <c r="K2" s="1"/>
      <c r="O2" s="2"/>
      <c r="P2" s="2"/>
      <c r="Q2" s="2"/>
    </row>
    <row r="3" spans="1:17" x14ac:dyDescent="0.25">
      <c r="A3" s="1"/>
      <c r="B3" s="1"/>
      <c r="C3" s="1"/>
      <c r="D3" s="58"/>
      <c r="E3" s="58"/>
      <c r="F3" s="58"/>
      <c r="G3" s="58"/>
      <c r="H3" s="58"/>
      <c r="I3" s="1"/>
      <c r="J3" s="1"/>
      <c r="K3" s="1"/>
      <c r="O3" s="63" t="s">
        <v>2</v>
      </c>
      <c r="P3" s="63"/>
      <c r="Q3" s="12">
        <v>1132554029</v>
      </c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O4" s="63" t="s">
        <v>3</v>
      </c>
      <c r="P4" s="63"/>
      <c r="Q4" s="12">
        <v>1140082010</v>
      </c>
    </row>
    <row r="5" spans="1:17" x14ac:dyDescent="0.25">
      <c r="O5" s="63" t="s">
        <v>4</v>
      </c>
      <c r="P5" s="63"/>
      <c r="Q5" s="12">
        <v>1155286957</v>
      </c>
    </row>
    <row r="6" spans="1:17" x14ac:dyDescent="0.25">
      <c r="A6" s="3" t="s">
        <v>5</v>
      </c>
      <c r="B6" s="57" t="s">
        <v>6</v>
      </c>
      <c r="C6" s="4" t="s">
        <v>7</v>
      </c>
      <c r="D6" s="57" t="s">
        <v>8</v>
      </c>
      <c r="E6" s="57" t="s">
        <v>9</v>
      </c>
      <c r="F6" s="57" t="s">
        <v>10</v>
      </c>
      <c r="G6" s="5" t="s">
        <v>11</v>
      </c>
      <c r="H6" s="4" t="s">
        <v>12</v>
      </c>
      <c r="I6" s="6" t="s">
        <v>13</v>
      </c>
      <c r="J6" s="5" t="s">
        <v>14</v>
      </c>
      <c r="K6" s="5" t="s">
        <v>15</v>
      </c>
      <c r="L6" s="5" t="s">
        <v>16</v>
      </c>
      <c r="M6" s="57" t="s">
        <v>17</v>
      </c>
      <c r="O6" s="63" t="s">
        <v>18</v>
      </c>
      <c r="P6" s="63"/>
      <c r="Q6" s="12">
        <v>1162253698</v>
      </c>
    </row>
    <row r="7" spans="1:17" ht="15.75" thickBot="1" x14ac:dyDescent="0.3">
      <c r="A7" s="3" t="s">
        <v>19</v>
      </c>
      <c r="B7" s="57"/>
      <c r="C7" s="4" t="s">
        <v>20</v>
      </c>
      <c r="D7" s="57"/>
      <c r="E7" s="57"/>
      <c r="F7" s="57"/>
      <c r="G7" s="5" t="s">
        <v>21</v>
      </c>
      <c r="H7" s="4" t="s">
        <v>22</v>
      </c>
      <c r="I7" s="6" t="s">
        <v>21</v>
      </c>
      <c r="J7" s="5" t="s">
        <v>23</v>
      </c>
      <c r="K7" s="5" t="s">
        <v>24</v>
      </c>
      <c r="L7" s="5" t="s">
        <v>24</v>
      </c>
      <c r="M7" s="57"/>
      <c r="O7" s="2"/>
      <c r="P7" s="2"/>
      <c r="Q7" s="2"/>
    </row>
    <row r="8" spans="1:17" ht="15.75" thickBot="1" x14ac:dyDescent="0.3">
      <c r="A8" s="7">
        <v>44774</v>
      </c>
      <c r="B8" s="8" t="s">
        <v>25</v>
      </c>
      <c r="C8" s="9" t="s">
        <v>26</v>
      </c>
      <c r="D8" s="50" t="s">
        <v>2</v>
      </c>
      <c r="E8" s="9">
        <v>100</v>
      </c>
      <c r="F8" s="9">
        <v>10</v>
      </c>
      <c r="G8" s="10">
        <f>E8-F9</f>
        <v>98</v>
      </c>
      <c r="H8" s="9">
        <v>50</v>
      </c>
      <c r="I8" s="8" t="str">
        <f t="shared" ref="I8:I21" si="0">IF(G8&lt;=H8,"Realizar Compra",IF(G8&gt;H8,"Estoque Normal"))</f>
        <v>Estoque Normal</v>
      </c>
      <c r="J8" s="11">
        <v>2</v>
      </c>
      <c r="K8" s="11">
        <v>6</v>
      </c>
      <c r="L8" s="11">
        <f>K8*F8</f>
        <v>60</v>
      </c>
      <c r="M8" s="11">
        <f>L8-J8*F8</f>
        <v>40</v>
      </c>
      <c r="O8" s="2"/>
      <c r="P8" s="2"/>
      <c r="Q8" s="2"/>
    </row>
    <row r="9" spans="1:17" ht="15.75" thickBot="1" x14ac:dyDescent="0.3">
      <c r="A9" s="7">
        <v>44813</v>
      </c>
      <c r="B9" s="8" t="s">
        <v>27</v>
      </c>
      <c r="C9" s="9" t="s">
        <v>26</v>
      </c>
      <c r="D9" s="62"/>
      <c r="E9" s="9">
        <v>35</v>
      </c>
      <c r="F9" s="9">
        <v>2</v>
      </c>
      <c r="G9" s="10">
        <f t="shared" ref="G9:G21" si="1">E9-F9</f>
        <v>33</v>
      </c>
      <c r="H9" s="9">
        <v>15</v>
      </c>
      <c r="I9" s="8" t="str">
        <f t="shared" si="0"/>
        <v>Estoque Normal</v>
      </c>
      <c r="J9" s="11">
        <v>0.5</v>
      </c>
      <c r="K9" s="11">
        <v>2</v>
      </c>
      <c r="L9" s="11">
        <f t="shared" ref="L9:L37" si="2">K9*F9</f>
        <v>4</v>
      </c>
      <c r="M9" s="11">
        <f>L9-J9*F9</f>
        <v>3</v>
      </c>
      <c r="O9" s="2"/>
      <c r="P9" s="2"/>
      <c r="Q9" s="2"/>
    </row>
    <row r="10" spans="1:17" ht="15.75" thickBot="1" x14ac:dyDescent="0.3">
      <c r="A10" s="7">
        <v>44782</v>
      </c>
      <c r="B10" s="8" t="s">
        <v>28</v>
      </c>
      <c r="C10" s="9" t="s">
        <v>26</v>
      </c>
      <c r="D10" s="62"/>
      <c r="E10" s="9">
        <v>15</v>
      </c>
      <c r="F10" s="9">
        <v>10</v>
      </c>
      <c r="G10" s="10">
        <f t="shared" si="1"/>
        <v>5</v>
      </c>
      <c r="H10" s="9">
        <v>15</v>
      </c>
      <c r="I10" s="13" t="str">
        <f t="shared" si="0"/>
        <v>Realizar Compra</v>
      </c>
      <c r="J10" s="11">
        <v>1.3</v>
      </c>
      <c r="K10" s="11">
        <v>1</v>
      </c>
      <c r="L10" s="11">
        <f t="shared" si="2"/>
        <v>10</v>
      </c>
      <c r="M10" s="11">
        <f t="shared" ref="M10:M37" si="3">L10-J10*F10</f>
        <v>-3</v>
      </c>
    </row>
    <row r="11" spans="1:17" ht="15.75" thickBot="1" x14ac:dyDescent="0.3">
      <c r="A11" s="7">
        <v>44866</v>
      </c>
      <c r="B11" s="8" t="s">
        <v>29</v>
      </c>
      <c r="C11" s="9" t="s">
        <v>30</v>
      </c>
      <c r="D11" s="62"/>
      <c r="E11" s="9">
        <v>24</v>
      </c>
      <c r="F11" s="9">
        <v>2</v>
      </c>
      <c r="G11" s="10">
        <f t="shared" si="1"/>
        <v>22</v>
      </c>
      <c r="H11" s="9">
        <v>12</v>
      </c>
      <c r="I11" s="8" t="str">
        <f t="shared" si="0"/>
        <v>Estoque Normal</v>
      </c>
      <c r="J11" s="11">
        <v>10</v>
      </c>
      <c r="K11" s="11">
        <v>5</v>
      </c>
      <c r="L11" s="11">
        <f t="shared" si="2"/>
        <v>10</v>
      </c>
      <c r="M11" s="11">
        <f t="shared" si="3"/>
        <v>-10</v>
      </c>
    </row>
    <row r="12" spans="1:17" ht="15.75" thickBot="1" x14ac:dyDescent="0.3">
      <c r="A12" s="7">
        <v>44778</v>
      </c>
      <c r="B12" s="8" t="s">
        <v>31</v>
      </c>
      <c r="C12" s="9" t="s">
        <v>32</v>
      </c>
      <c r="D12" s="62"/>
      <c r="E12" s="9">
        <v>8</v>
      </c>
      <c r="F12" s="9">
        <v>5</v>
      </c>
      <c r="G12" s="10">
        <f t="shared" si="1"/>
        <v>3</v>
      </c>
      <c r="H12" s="9">
        <v>4</v>
      </c>
      <c r="I12" s="13" t="str">
        <f t="shared" si="0"/>
        <v>Realizar Compra</v>
      </c>
      <c r="J12" s="11">
        <v>2</v>
      </c>
      <c r="K12" s="11">
        <v>2</v>
      </c>
      <c r="L12" s="11">
        <f t="shared" si="2"/>
        <v>10</v>
      </c>
      <c r="M12" s="11">
        <f t="shared" si="3"/>
        <v>0</v>
      </c>
    </row>
    <row r="13" spans="1:17" ht="15.75" thickBot="1" x14ac:dyDescent="0.3">
      <c r="A13" s="7">
        <v>44779</v>
      </c>
      <c r="B13" s="8" t="s">
        <v>33</v>
      </c>
      <c r="C13" s="9" t="s">
        <v>26</v>
      </c>
      <c r="D13" s="62"/>
      <c r="E13" s="9">
        <v>50</v>
      </c>
      <c r="F13" s="9">
        <v>20</v>
      </c>
      <c r="G13" s="10">
        <f t="shared" si="1"/>
        <v>30</v>
      </c>
      <c r="H13" s="9">
        <v>10</v>
      </c>
      <c r="I13" s="8" t="str">
        <f t="shared" si="0"/>
        <v>Estoque Normal</v>
      </c>
      <c r="J13" s="11">
        <v>5</v>
      </c>
      <c r="K13" s="11">
        <v>5</v>
      </c>
      <c r="L13" s="11">
        <f t="shared" si="2"/>
        <v>100</v>
      </c>
      <c r="M13" s="11">
        <f t="shared" si="3"/>
        <v>0</v>
      </c>
    </row>
    <row r="14" spans="1:17" ht="15.75" thickBot="1" x14ac:dyDescent="0.3">
      <c r="A14" s="7">
        <v>44859</v>
      </c>
      <c r="B14" s="8" t="s">
        <v>25</v>
      </c>
      <c r="C14" s="9" t="s">
        <v>26</v>
      </c>
      <c r="D14" s="62"/>
      <c r="E14" s="9">
        <v>100</v>
      </c>
      <c r="F14" s="9">
        <v>50</v>
      </c>
      <c r="G14" s="10">
        <f>E14-E13</f>
        <v>50</v>
      </c>
      <c r="H14" s="9">
        <v>50</v>
      </c>
      <c r="I14" s="8" t="str">
        <f t="shared" ref="I14" si="4">IF(G14&lt;=H14,"Realizar Compra",IF(G14&gt;H14,"Estoque Normal"))</f>
        <v>Realizar Compra</v>
      </c>
      <c r="J14" s="11">
        <v>2</v>
      </c>
      <c r="K14" s="11">
        <v>6</v>
      </c>
      <c r="L14" s="11">
        <f>K14*F14</f>
        <v>300</v>
      </c>
      <c r="M14" s="11">
        <f>L14-J14*F14</f>
        <v>200</v>
      </c>
    </row>
    <row r="15" spans="1:17" ht="15.75" thickBot="1" x14ac:dyDescent="0.3">
      <c r="A15" s="7">
        <v>44878</v>
      </c>
      <c r="B15" s="8" t="s">
        <v>34</v>
      </c>
      <c r="C15" s="9" t="s">
        <v>32</v>
      </c>
      <c r="D15" s="62"/>
      <c r="E15" s="9">
        <v>5</v>
      </c>
      <c r="F15" s="9">
        <v>2</v>
      </c>
      <c r="G15" s="10">
        <f t="shared" si="1"/>
        <v>3</v>
      </c>
      <c r="H15" s="9">
        <v>2</v>
      </c>
      <c r="I15" s="8" t="str">
        <f>IF(G15&lt;=H15,"Realizar Compra",IF(G15&gt;H15,"Estoque Normal"))</f>
        <v>Estoque Normal</v>
      </c>
      <c r="J15" s="11">
        <v>2</v>
      </c>
      <c r="K15" s="11">
        <v>3</v>
      </c>
      <c r="L15" s="11">
        <f t="shared" si="2"/>
        <v>6</v>
      </c>
      <c r="M15" s="11">
        <f t="shared" si="3"/>
        <v>2</v>
      </c>
    </row>
    <row r="16" spans="1:17" ht="15.75" thickBot="1" x14ac:dyDescent="0.3">
      <c r="A16" s="7">
        <v>44878</v>
      </c>
      <c r="B16" s="8" t="s">
        <v>35</v>
      </c>
      <c r="C16" s="9" t="s">
        <v>32</v>
      </c>
      <c r="D16" s="62"/>
      <c r="E16" s="9">
        <v>5</v>
      </c>
      <c r="F16" s="9">
        <v>3</v>
      </c>
      <c r="G16" s="10">
        <f t="shared" si="1"/>
        <v>2</v>
      </c>
      <c r="H16" s="9">
        <v>2</v>
      </c>
      <c r="I16" s="8" t="str">
        <f t="shared" si="0"/>
        <v>Realizar Compra</v>
      </c>
      <c r="J16" s="11">
        <v>2.5</v>
      </c>
      <c r="K16" s="11">
        <v>3.5</v>
      </c>
      <c r="L16" s="11">
        <f t="shared" si="2"/>
        <v>10.5</v>
      </c>
      <c r="M16" s="11">
        <f t="shared" si="3"/>
        <v>3</v>
      </c>
    </row>
    <row r="17" spans="1:13" ht="15.75" thickBot="1" x14ac:dyDescent="0.3">
      <c r="A17" s="7">
        <v>44878</v>
      </c>
      <c r="B17" s="8" t="s">
        <v>36</v>
      </c>
      <c r="C17" s="9" t="s">
        <v>32</v>
      </c>
      <c r="D17" s="62"/>
      <c r="E17" s="9">
        <v>5</v>
      </c>
      <c r="F17" s="9">
        <v>2</v>
      </c>
      <c r="G17" s="10">
        <f t="shared" si="1"/>
        <v>3</v>
      </c>
      <c r="H17" s="9">
        <v>2</v>
      </c>
      <c r="I17" s="8" t="str">
        <f t="shared" si="0"/>
        <v>Estoque Normal</v>
      </c>
      <c r="J17" s="11">
        <v>1.2</v>
      </c>
      <c r="K17" s="11">
        <v>3</v>
      </c>
      <c r="L17" s="11">
        <f t="shared" si="2"/>
        <v>6</v>
      </c>
      <c r="M17" s="11">
        <f t="shared" si="3"/>
        <v>3.6</v>
      </c>
    </row>
    <row r="18" spans="1:13" ht="15.75" thickBot="1" x14ac:dyDescent="0.3">
      <c r="A18" s="7">
        <v>44878</v>
      </c>
      <c r="B18" s="8" t="s">
        <v>37</v>
      </c>
      <c r="C18" s="9" t="s">
        <v>32</v>
      </c>
      <c r="D18" s="62"/>
      <c r="E18" s="9">
        <v>5</v>
      </c>
      <c r="F18" s="9">
        <v>2</v>
      </c>
      <c r="G18" s="10">
        <f t="shared" si="1"/>
        <v>3</v>
      </c>
      <c r="H18" s="9">
        <v>2</v>
      </c>
      <c r="I18" s="8" t="str">
        <f t="shared" si="0"/>
        <v>Estoque Normal</v>
      </c>
      <c r="J18" s="11">
        <v>3</v>
      </c>
      <c r="K18" s="11">
        <v>4.5</v>
      </c>
      <c r="L18" s="11">
        <f t="shared" si="2"/>
        <v>9</v>
      </c>
      <c r="M18" s="11">
        <f t="shared" si="3"/>
        <v>3</v>
      </c>
    </row>
    <row r="19" spans="1:13" ht="15.75" thickBot="1" x14ac:dyDescent="0.3">
      <c r="A19" s="7">
        <v>44878</v>
      </c>
      <c r="B19" s="8" t="s">
        <v>38</v>
      </c>
      <c r="C19" s="9" t="s">
        <v>26</v>
      </c>
      <c r="D19" s="62"/>
      <c r="E19" s="9">
        <v>15</v>
      </c>
      <c r="F19" s="9">
        <v>2</v>
      </c>
      <c r="G19" s="10">
        <f t="shared" si="1"/>
        <v>13</v>
      </c>
      <c r="H19" s="9">
        <v>10</v>
      </c>
      <c r="I19" s="8" t="str">
        <f t="shared" si="0"/>
        <v>Estoque Normal</v>
      </c>
      <c r="J19" s="11">
        <v>2</v>
      </c>
      <c r="K19" s="11">
        <v>1</v>
      </c>
      <c r="L19" s="11">
        <f t="shared" si="2"/>
        <v>2</v>
      </c>
      <c r="M19" s="11">
        <f t="shared" si="3"/>
        <v>-2</v>
      </c>
    </row>
    <row r="20" spans="1:13" ht="15.75" thickBot="1" x14ac:dyDescent="0.3">
      <c r="A20" s="7">
        <v>44878</v>
      </c>
      <c r="B20" s="8" t="s">
        <v>25</v>
      </c>
      <c r="C20" s="9" t="s">
        <v>26</v>
      </c>
      <c r="D20" s="62"/>
      <c r="E20" s="9">
        <v>100</v>
      </c>
      <c r="F20" s="9">
        <v>10</v>
      </c>
      <c r="G20" s="10">
        <f>E20-F21</f>
        <v>95</v>
      </c>
      <c r="H20" s="9">
        <v>50</v>
      </c>
      <c r="I20" s="8" t="str">
        <f t="shared" si="0"/>
        <v>Estoque Normal</v>
      </c>
      <c r="J20" s="11">
        <v>2</v>
      </c>
      <c r="K20" s="11">
        <v>6</v>
      </c>
      <c r="L20" s="11">
        <f>K20*F20</f>
        <v>60</v>
      </c>
      <c r="M20" s="11">
        <f>L20-J20*F20</f>
        <v>40</v>
      </c>
    </row>
    <row r="21" spans="1:13" ht="15.75" thickBot="1" x14ac:dyDescent="0.3">
      <c r="A21" s="7">
        <v>44878</v>
      </c>
      <c r="B21" s="8" t="s">
        <v>39</v>
      </c>
      <c r="C21" s="9" t="s">
        <v>30</v>
      </c>
      <c r="D21" s="51"/>
      <c r="E21" s="9">
        <v>10</v>
      </c>
      <c r="F21" s="9">
        <v>5</v>
      </c>
      <c r="G21" s="10">
        <f t="shared" si="1"/>
        <v>5</v>
      </c>
      <c r="H21" s="9">
        <v>5</v>
      </c>
      <c r="I21" s="13" t="str">
        <f t="shared" si="0"/>
        <v>Realizar Compra</v>
      </c>
      <c r="J21" s="11">
        <v>1</v>
      </c>
      <c r="K21" s="11">
        <v>7.5</v>
      </c>
      <c r="L21" s="11">
        <f t="shared" si="2"/>
        <v>37.5</v>
      </c>
      <c r="M21" s="11">
        <f t="shared" si="3"/>
        <v>32.5</v>
      </c>
    </row>
    <row r="22" spans="1:13" ht="15.75" thickBot="1" x14ac:dyDescent="0.3">
      <c r="A22" s="14"/>
      <c r="B22" s="59" t="s">
        <v>40</v>
      </c>
      <c r="C22" s="60"/>
      <c r="D22" s="61"/>
      <c r="E22" s="15">
        <f>SUM(E8:E21)</f>
        <v>477</v>
      </c>
      <c r="F22" s="15">
        <f>SUM(F8:F21)</f>
        <v>125</v>
      </c>
      <c r="G22" s="15">
        <f>SUM(G8:G21)</f>
        <v>365</v>
      </c>
      <c r="H22" s="15"/>
      <c r="I22" s="16"/>
      <c r="J22" s="17">
        <f>SUM(J8:J21)</f>
        <v>36.5</v>
      </c>
      <c r="K22" s="18">
        <f>SUM(K8:K21)</f>
        <v>55.5</v>
      </c>
      <c r="L22" s="18">
        <f>SUM(L8:L21)</f>
        <v>625</v>
      </c>
      <c r="M22" s="18">
        <f t="shared" ref="M22" si="5">SUM(M8:M21)</f>
        <v>312.10000000000002</v>
      </c>
    </row>
    <row r="23" spans="1:13" ht="15.75" thickBot="1" x14ac:dyDescent="0.3">
      <c r="A23" s="7">
        <v>44880</v>
      </c>
      <c r="B23" s="8" t="s">
        <v>41</v>
      </c>
      <c r="C23" s="9" t="s">
        <v>32</v>
      </c>
      <c r="D23" s="50" t="s">
        <v>18</v>
      </c>
      <c r="E23" s="9">
        <v>10</v>
      </c>
      <c r="F23" s="9">
        <v>2</v>
      </c>
      <c r="G23" s="10">
        <f t="shared" ref="G23:G29" si="6">E23-F23</f>
        <v>8</v>
      </c>
      <c r="H23" s="9">
        <v>5</v>
      </c>
      <c r="I23" s="8" t="str">
        <f t="shared" ref="I23:I29" si="7">IF(G23&lt;=H23,"Realizar Compra",IF(G23&gt;H23,"Estoque Normal"))</f>
        <v>Estoque Normal</v>
      </c>
      <c r="J23" s="11">
        <v>1.5</v>
      </c>
      <c r="K23" s="11">
        <v>3</v>
      </c>
      <c r="L23" s="11">
        <f t="shared" si="2"/>
        <v>6</v>
      </c>
      <c r="M23" s="11">
        <f t="shared" si="3"/>
        <v>3</v>
      </c>
    </row>
    <row r="24" spans="1:13" ht="15.75" thickBot="1" x14ac:dyDescent="0.3">
      <c r="A24" s="7">
        <v>44841</v>
      </c>
      <c r="B24" s="8" t="s">
        <v>42</v>
      </c>
      <c r="C24" s="9" t="s">
        <v>32</v>
      </c>
      <c r="D24" s="62"/>
      <c r="E24" s="9">
        <v>100</v>
      </c>
      <c r="F24" s="9">
        <v>40</v>
      </c>
      <c r="G24" s="10">
        <f>E24-F22</f>
        <v>-25</v>
      </c>
      <c r="H24" s="9">
        <v>50</v>
      </c>
      <c r="I24" s="13" t="str">
        <f t="shared" si="7"/>
        <v>Realizar Compra</v>
      </c>
      <c r="J24" s="11">
        <v>1</v>
      </c>
      <c r="K24" s="11">
        <v>4.5</v>
      </c>
      <c r="L24" s="11">
        <f t="shared" si="2"/>
        <v>180</v>
      </c>
      <c r="M24" s="11">
        <f t="shared" si="3"/>
        <v>140</v>
      </c>
    </row>
    <row r="25" spans="1:13" ht="15.75" thickBot="1" x14ac:dyDescent="0.3">
      <c r="A25" s="7">
        <v>44841</v>
      </c>
      <c r="B25" s="8" t="s">
        <v>43</v>
      </c>
      <c r="C25" s="9" t="s">
        <v>32</v>
      </c>
      <c r="D25" s="62"/>
      <c r="E25" s="9">
        <v>100</v>
      </c>
      <c r="F25" s="9">
        <v>40</v>
      </c>
      <c r="G25" s="10">
        <f>E25-F25</f>
        <v>60</v>
      </c>
      <c r="H25" s="9">
        <v>50</v>
      </c>
      <c r="I25" s="8" t="str">
        <f t="shared" si="7"/>
        <v>Estoque Normal</v>
      </c>
      <c r="J25" s="11">
        <v>1</v>
      </c>
      <c r="K25" s="11">
        <v>4.5</v>
      </c>
      <c r="L25" s="11">
        <f t="shared" si="2"/>
        <v>180</v>
      </c>
      <c r="M25" s="11">
        <f t="shared" si="3"/>
        <v>140</v>
      </c>
    </row>
    <row r="26" spans="1:13" ht="15.75" thickBot="1" x14ac:dyDescent="0.3">
      <c r="A26" s="7">
        <v>44841</v>
      </c>
      <c r="B26" s="8" t="s">
        <v>44</v>
      </c>
      <c r="C26" s="9" t="s">
        <v>32</v>
      </c>
      <c r="D26" s="62"/>
      <c r="E26" s="9">
        <v>100</v>
      </c>
      <c r="F26" s="9">
        <v>40</v>
      </c>
      <c r="G26" s="10">
        <f t="shared" si="6"/>
        <v>60</v>
      </c>
      <c r="H26" s="9">
        <v>50</v>
      </c>
      <c r="I26" s="8" t="str">
        <f t="shared" si="7"/>
        <v>Estoque Normal</v>
      </c>
      <c r="J26" s="11">
        <v>1</v>
      </c>
      <c r="K26" s="11">
        <v>4</v>
      </c>
      <c r="L26" s="11">
        <f t="shared" si="2"/>
        <v>160</v>
      </c>
      <c r="M26" s="11">
        <f t="shared" si="3"/>
        <v>120</v>
      </c>
    </row>
    <row r="27" spans="1:13" ht="15.75" thickBot="1" x14ac:dyDescent="0.3">
      <c r="A27" s="7">
        <v>44841</v>
      </c>
      <c r="B27" s="8" t="s">
        <v>45</v>
      </c>
      <c r="C27" s="9" t="s">
        <v>32</v>
      </c>
      <c r="D27" s="62"/>
      <c r="E27" s="9">
        <v>100</v>
      </c>
      <c r="F27" s="9">
        <v>40</v>
      </c>
      <c r="G27" s="10">
        <f t="shared" si="6"/>
        <v>60</v>
      </c>
      <c r="H27" s="9">
        <v>50</v>
      </c>
      <c r="I27" s="8" t="str">
        <f t="shared" si="7"/>
        <v>Estoque Normal</v>
      </c>
      <c r="J27" s="11">
        <v>1</v>
      </c>
      <c r="K27" s="11">
        <v>4</v>
      </c>
      <c r="L27" s="11">
        <f t="shared" si="2"/>
        <v>160</v>
      </c>
      <c r="M27" s="11">
        <f t="shared" si="3"/>
        <v>120</v>
      </c>
    </row>
    <row r="28" spans="1:13" ht="15.75" thickBot="1" x14ac:dyDescent="0.3">
      <c r="A28" s="7">
        <v>44841</v>
      </c>
      <c r="B28" s="8" t="s">
        <v>46</v>
      </c>
      <c r="C28" s="9" t="s">
        <v>32</v>
      </c>
      <c r="D28" s="62"/>
      <c r="E28" s="9">
        <v>100</v>
      </c>
      <c r="F28" s="9">
        <v>40</v>
      </c>
      <c r="G28" s="10">
        <f t="shared" si="6"/>
        <v>60</v>
      </c>
      <c r="H28" s="9">
        <v>50</v>
      </c>
      <c r="I28" s="8" t="str">
        <f t="shared" si="7"/>
        <v>Estoque Normal</v>
      </c>
      <c r="J28" s="11">
        <v>1</v>
      </c>
      <c r="K28" s="11">
        <v>4</v>
      </c>
      <c r="L28" s="11">
        <f t="shared" si="2"/>
        <v>160</v>
      </c>
      <c r="M28" s="11">
        <f t="shared" si="3"/>
        <v>120</v>
      </c>
    </row>
    <row r="29" spans="1:13" ht="15.75" thickBot="1" x14ac:dyDescent="0.3">
      <c r="A29" s="7">
        <v>44843</v>
      </c>
      <c r="B29" s="8" t="s">
        <v>47</v>
      </c>
      <c r="C29" s="9" t="s">
        <v>32</v>
      </c>
      <c r="D29" s="51"/>
      <c r="E29" s="9">
        <v>40</v>
      </c>
      <c r="F29" s="9">
        <v>30</v>
      </c>
      <c r="G29" s="10">
        <f t="shared" si="6"/>
        <v>10</v>
      </c>
      <c r="H29" s="9">
        <v>10</v>
      </c>
      <c r="I29" s="13" t="str">
        <f t="shared" si="7"/>
        <v>Realizar Compra</v>
      </c>
      <c r="J29" s="11">
        <v>1</v>
      </c>
      <c r="K29" s="11">
        <v>5</v>
      </c>
      <c r="L29" s="11">
        <f t="shared" si="2"/>
        <v>150</v>
      </c>
      <c r="M29" s="11">
        <f t="shared" si="3"/>
        <v>120</v>
      </c>
    </row>
    <row r="30" spans="1:13" ht="15.75" thickBot="1" x14ac:dyDescent="0.3">
      <c r="A30" s="14"/>
      <c r="B30" s="59" t="s">
        <v>48</v>
      </c>
      <c r="C30" s="60"/>
      <c r="D30" s="61"/>
      <c r="E30" s="15">
        <f>SUM(E23:E29)</f>
        <v>550</v>
      </c>
      <c r="F30" s="15">
        <f>SUM(F12:F29)</f>
        <v>458</v>
      </c>
      <c r="G30" s="15">
        <f>SUM(G12:G29)</f>
        <v>805</v>
      </c>
      <c r="H30" s="15"/>
      <c r="I30" s="16"/>
      <c r="J30" s="17">
        <f>SUM(J12:J29)</f>
        <v>66.7</v>
      </c>
      <c r="K30" s="18">
        <f>SUM(K12:K29)</f>
        <v>126</v>
      </c>
      <c r="L30" s="18">
        <f>SUM(L16:L29)</f>
        <v>1746</v>
      </c>
      <c r="M30" s="18">
        <f t="shared" ref="M30" si="8">SUM(M16:M29)</f>
        <v>1155.2</v>
      </c>
    </row>
    <row r="31" spans="1:13" ht="15.75" thickBot="1" x14ac:dyDescent="0.3">
      <c r="A31" s="7">
        <v>44878</v>
      </c>
      <c r="B31" s="8" t="s">
        <v>49</v>
      </c>
      <c r="C31" s="9" t="s">
        <v>26</v>
      </c>
      <c r="D31" s="50" t="s">
        <v>4</v>
      </c>
      <c r="E31" s="9">
        <v>15</v>
      </c>
      <c r="F31" s="9">
        <v>13</v>
      </c>
      <c r="G31" s="10">
        <f>E31-F31</f>
        <v>2</v>
      </c>
      <c r="H31" s="9">
        <v>5</v>
      </c>
      <c r="I31" s="13" t="str">
        <f>IF(G31&lt;=H31,"Realizar Compra",IF(G31&gt;H31,"Estoque Normal"))</f>
        <v>Realizar Compra</v>
      </c>
      <c r="J31" s="11">
        <v>0.75</v>
      </c>
      <c r="K31" s="11">
        <v>10</v>
      </c>
      <c r="L31" s="11">
        <f t="shared" si="2"/>
        <v>130</v>
      </c>
      <c r="M31" s="11">
        <f t="shared" si="3"/>
        <v>120.25</v>
      </c>
    </row>
    <row r="32" spans="1:13" ht="15.75" thickBot="1" x14ac:dyDescent="0.3">
      <c r="A32" s="7">
        <v>44878</v>
      </c>
      <c r="B32" s="8" t="s">
        <v>50</v>
      </c>
      <c r="C32" s="9" t="s">
        <v>26</v>
      </c>
      <c r="D32" s="62"/>
      <c r="E32" s="9">
        <v>20</v>
      </c>
      <c r="F32" s="9">
        <v>3</v>
      </c>
      <c r="G32" s="10">
        <f t="shared" ref="G32" si="9">E32-F32</f>
        <v>17</v>
      </c>
      <c r="H32" s="9">
        <v>10</v>
      </c>
      <c r="I32" s="13" t="str">
        <f>IF(G32&lt;=H32,"Realizar Compra",IF(G32&gt;H32,"Estoque Normal"))</f>
        <v>Estoque Normal</v>
      </c>
      <c r="J32" s="11">
        <v>2.5</v>
      </c>
      <c r="K32" s="11">
        <v>6</v>
      </c>
      <c r="L32" s="11">
        <f t="shared" ref="L32" si="10">K32*F32</f>
        <v>18</v>
      </c>
      <c r="M32" s="11">
        <f t="shared" ref="M32" si="11">L32-J32*F32</f>
        <v>10.5</v>
      </c>
    </row>
    <row r="33" spans="1:13" ht="15.75" thickBot="1" x14ac:dyDescent="0.3">
      <c r="A33" s="7">
        <v>44835</v>
      </c>
      <c r="B33" s="8" t="s">
        <v>51</v>
      </c>
      <c r="C33" s="9" t="s">
        <v>52</v>
      </c>
      <c r="D33" s="62"/>
      <c r="E33" s="9">
        <v>15</v>
      </c>
      <c r="F33" s="9">
        <v>14</v>
      </c>
      <c r="G33" s="10">
        <f>E33-F33</f>
        <v>1</v>
      </c>
      <c r="H33" s="9">
        <v>5</v>
      </c>
      <c r="I33" s="13" t="str">
        <f>IF(G33&lt;=H33,"Realizar Compra",IF(G33&gt;H33,"Estoque Normal"))</f>
        <v>Realizar Compra</v>
      </c>
      <c r="J33" s="11">
        <v>0.75</v>
      </c>
      <c r="K33" s="11">
        <v>2</v>
      </c>
      <c r="L33" s="11">
        <f t="shared" si="2"/>
        <v>28</v>
      </c>
      <c r="M33" s="11">
        <f t="shared" si="3"/>
        <v>17.5</v>
      </c>
    </row>
    <row r="34" spans="1:13" ht="15.75" thickBot="1" x14ac:dyDescent="0.3">
      <c r="A34" s="7">
        <v>44835</v>
      </c>
      <c r="B34" s="8" t="s">
        <v>53</v>
      </c>
      <c r="C34" s="9" t="s">
        <v>52</v>
      </c>
      <c r="D34" s="51"/>
      <c r="E34" s="9">
        <v>15</v>
      </c>
      <c r="F34" s="9">
        <v>11</v>
      </c>
      <c r="G34" s="10">
        <f>E34-F34</f>
        <v>4</v>
      </c>
      <c r="H34" s="9">
        <v>5</v>
      </c>
      <c r="I34" s="13" t="str">
        <f>IF(G34&lt;=H34,"Realizar Compra",IF(G34&gt;H34,"Estoque Normal"))</f>
        <v>Realizar Compra</v>
      </c>
      <c r="J34" s="11">
        <v>1.5</v>
      </c>
      <c r="K34" s="11">
        <v>7</v>
      </c>
      <c r="L34" s="11">
        <f t="shared" si="2"/>
        <v>77</v>
      </c>
      <c r="M34" s="11">
        <f t="shared" si="3"/>
        <v>60.5</v>
      </c>
    </row>
    <row r="35" spans="1:13" ht="15.75" thickBot="1" x14ac:dyDescent="0.3">
      <c r="A35" s="14"/>
      <c r="B35" s="59" t="s">
        <v>54</v>
      </c>
      <c r="C35" s="60"/>
      <c r="D35" s="61"/>
      <c r="E35" s="15">
        <f>SUM(E31:E34)</f>
        <v>65</v>
      </c>
      <c r="F35" s="15">
        <f>SUM(F31:F34)</f>
        <v>41</v>
      </c>
      <c r="G35" s="15">
        <f>SUM(G10:G34)</f>
        <v>1661</v>
      </c>
      <c r="H35" s="15"/>
      <c r="I35" s="16"/>
      <c r="J35" s="19">
        <f>SUM(J31:J34)</f>
        <v>5.5</v>
      </c>
      <c r="K35" s="18">
        <f>SUM(K31:K34)</f>
        <v>25</v>
      </c>
      <c r="L35" s="18">
        <f>SUM(L20:L34)</f>
        <v>3717.5</v>
      </c>
      <c r="M35" s="18">
        <f t="shared" ref="M35" si="12">SUM(M20:M34)</f>
        <v>2511.5500000000002</v>
      </c>
    </row>
    <row r="36" spans="1:13" ht="15.75" thickBot="1" x14ac:dyDescent="0.3">
      <c r="A36" s="7">
        <v>44878</v>
      </c>
      <c r="B36" s="8" t="s">
        <v>55</v>
      </c>
      <c r="C36" s="9" t="s">
        <v>32</v>
      </c>
      <c r="D36" s="50" t="s">
        <v>3</v>
      </c>
      <c r="E36" s="9">
        <v>6</v>
      </c>
      <c r="F36" s="9">
        <v>3</v>
      </c>
      <c r="G36" s="10">
        <f>E36-F36</f>
        <v>3</v>
      </c>
      <c r="H36" s="9">
        <v>2</v>
      </c>
      <c r="I36" s="8" t="str">
        <f>IF(G36&lt;=H36,"Realizar Compra",IF(G36&gt;H36,"Estoque Normal"))</f>
        <v>Estoque Normal</v>
      </c>
      <c r="J36" s="11">
        <v>12</v>
      </c>
      <c r="K36" s="11">
        <v>15</v>
      </c>
      <c r="L36" s="11">
        <f t="shared" si="2"/>
        <v>45</v>
      </c>
      <c r="M36" s="11">
        <f t="shared" si="3"/>
        <v>9</v>
      </c>
    </row>
    <row r="37" spans="1:13" ht="15.75" thickBot="1" x14ac:dyDescent="0.3">
      <c r="A37" s="7">
        <v>44878</v>
      </c>
      <c r="B37" s="8" t="s">
        <v>56</v>
      </c>
      <c r="C37" s="9" t="s">
        <v>32</v>
      </c>
      <c r="D37" s="51"/>
      <c r="E37" s="9">
        <v>6</v>
      </c>
      <c r="F37" s="9">
        <v>2</v>
      </c>
      <c r="G37" s="10">
        <f>E37-F37</f>
        <v>4</v>
      </c>
      <c r="H37" s="9">
        <v>2</v>
      </c>
      <c r="I37" s="8" t="str">
        <f>IF(G37&lt;=H37,"Realizar Compra",IF(G37&gt;H37,"Estoque Normal"))</f>
        <v>Estoque Normal</v>
      </c>
      <c r="J37" s="11">
        <v>5</v>
      </c>
      <c r="K37" s="11">
        <v>13</v>
      </c>
      <c r="L37" s="11">
        <f t="shared" si="2"/>
        <v>26</v>
      </c>
      <c r="M37" s="11">
        <f t="shared" si="3"/>
        <v>16</v>
      </c>
    </row>
    <row r="38" spans="1:13" x14ac:dyDescent="0.25">
      <c r="A38" s="29"/>
      <c r="B38" s="52" t="s">
        <v>57</v>
      </c>
      <c r="C38" s="53"/>
      <c r="D38" s="54"/>
      <c r="E38" s="20">
        <f>SUM(E36:E37)</f>
        <v>12</v>
      </c>
      <c r="F38" s="20">
        <f>SUM(F35:F37)</f>
        <v>46</v>
      </c>
      <c r="G38" s="20">
        <f>SUM(G13:G37)</f>
        <v>3299</v>
      </c>
      <c r="H38" s="20"/>
      <c r="I38" s="21"/>
      <c r="J38" s="22">
        <f>SUM(J35:J37)</f>
        <v>22.5</v>
      </c>
      <c r="K38" s="23">
        <f>SUM(K35:K37)</f>
        <v>53</v>
      </c>
      <c r="L38" s="23">
        <f>SUM(L23:L37)</f>
        <v>6783.5</v>
      </c>
      <c r="M38" s="23">
        <f t="shared" ref="M38" si="13">SUM(M23:M37)</f>
        <v>4663.5</v>
      </c>
    </row>
    <row r="39" spans="1:13" x14ac:dyDescent="0.25">
      <c r="A39" s="24"/>
      <c r="B39" s="35"/>
      <c r="C39" s="35"/>
      <c r="D39" s="35"/>
      <c r="E39" s="25"/>
      <c r="F39" s="25"/>
      <c r="G39" s="25"/>
      <c r="H39" s="25"/>
      <c r="I39" s="26"/>
      <c r="J39" s="27"/>
      <c r="K39" s="28"/>
      <c r="L39" s="28"/>
      <c r="M39" s="28"/>
    </row>
    <row r="40" spans="1:13" ht="15.75" thickBot="1" x14ac:dyDescent="0.3">
      <c r="B40" s="55" t="s">
        <v>58</v>
      </c>
      <c r="C40" s="56"/>
      <c r="D40" s="56"/>
      <c r="E40" s="30">
        <f>SUM(E22,E35,E38)</f>
        <v>554</v>
      </c>
      <c r="F40" s="30">
        <f>SUM(F22,F35,F38)</f>
        <v>212</v>
      </c>
      <c r="G40" s="30">
        <f>SUM(G22,G35,G38)</f>
        <v>5325</v>
      </c>
      <c r="H40" s="31"/>
      <c r="I40" s="31"/>
      <c r="J40" s="32">
        <f>SUM(J22,J35,J38)</f>
        <v>64.5</v>
      </c>
      <c r="K40" s="33">
        <f>SUM(K22,K35,K38)</f>
        <v>133.5</v>
      </c>
      <c r="L40" s="34">
        <f>SUM(L24:L38)</f>
        <v>13561</v>
      </c>
      <c r="M40" s="34">
        <f>SUM(M24:M38)</f>
        <v>9324</v>
      </c>
    </row>
  </sheetData>
  <mergeCells count="20">
    <mergeCell ref="O3:P3"/>
    <mergeCell ref="O4:P4"/>
    <mergeCell ref="O1:Q1"/>
    <mergeCell ref="O5:P5"/>
    <mergeCell ref="O6:P6"/>
    <mergeCell ref="D36:D37"/>
    <mergeCell ref="B38:D38"/>
    <mergeCell ref="B40:D40"/>
    <mergeCell ref="M6:M7"/>
    <mergeCell ref="D1:H3"/>
    <mergeCell ref="B22:D22"/>
    <mergeCell ref="B30:D30"/>
    <mergeCell ref="B35:D35"/>
    <mergeCell ref="B6:B7"/>
    <mergeCell ref="D6:D7"/>
    <mergeCell ref="E6:E7"/>
    <mergeCell ref="F6:F7"/>
    <mergeCell ref="D23:D29"/>
    <mergeCell ref="D31:D34"/>
    <mergeCell ref="D8:D2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BE48-DA35-432D-AAF0-D2665AC58FFF}">
  <dimension ref="A1:E6"/>
  <sheetViews>
    <sheetView zoomScale="220" zoomScaleNormal="220" workbookViewId="0">
      <selection activeCell="D5" sqref="D5"/>
    </sheetView>
  </sheetViews>
  <sheetFormatPr defaultRowHeight="15" x14ac:dyDescent="0.25"/>
  <cols>
    <col min="1" max="1" width="9.140625" customWidth="1"/>
    <col min="2" max="5" width="11.85546875" customWidth="1"/>
  </cols>
  <sheetData>
    <row r="1" spans="1:5" ht="15.75" thickBot="1" x14ac:dyDescent="0.3"/>
    <row r="2" spans="1:5" s="45" customFormat="1" ht="15.75" thickBot="1" x14ac:dyDescent="0.3">
      <c r="B2" s="46" t="s">
        <v>61</v>
      </c>
      <c r="C2" s="47" t="s">
        <v>62</v>
      </c>
      <c r="D2" s="48" t="s">
        <v>62</v>
      </c>
      <c r="E2" s="49" t="s">
        <v>62</v>
      </c>
    </row>
    <row r="3" spans="1:5" x14ac:dyDescent="0.25">
      <c r="B3" s="36" t="s">
        <v>6</v>
      </c>
      <c r="C3" s="37" t="s">
        <v>59</v>
      </c>
      <c r="D3" s="37" t="s">
        <v>59</v>
      </c>
      <c r="E3" s="38" t="s">
        <v>59</v>
      </c>
    </row>
    <row r="4" spans="1:5" x14ac:dyDescent="0.25">
      <c r="A4" s="42" t="s">
        <v>60</v>
      </c>
      <c r="B4" s="43" t="s">
        <v>6</v>
      </c>
      <c r="C4" s="42" t="s">
        <v>59</v>
      </c>
      <c r="D4" s="42" t="s">
        <v>59</v>
      </c>
      <c r="E4" s="44" t="s">
        <v>59</v>
      </c>
    </row>
    <row r="5" spans="1:5" x14ac:dyDescent="0.25">
      <c r="B5" s="36" t="s">
        <v>6</v>
      </c>
      <c r="C5" s="37" t="s">
        <v>59</v>
      </c>
      <c r="D5" s="37" t="s">
        <v>59</v>
      </c>
      <c r="E5" s="38" t="s">
        <v>59</v>
      </c>
    </row>
    <row r="6" spans="1:5" ht="15.75" thickBot="1" x14ac:dyDescent="0.3">
      <c r="B6" s="39" t="s">
        <v>6</v>
      </c>
      <c r="C6" s="40" t="s">
        <v>59</v>
      </c>
      <c r="D6" s="40" t="s">
        <v>59</v>
      </c>
      <c r="E6" s="41" t="s">
        <v>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9283-E319-4F75-9C81-028F3B180133}">
  <dimension ref="A1:E6"/>
  <sheetViews>
    <sheetView zoomScale="250" zoomScaleNormal="250" workbookViewId="0">
      <selection activeCell="B15" sqref="B15"/>
    </sheetView>
  </sheetViews>
  <sheetFormatPr defaultRowHeight="15" x14ac:dyDescent="0.25"/>
  <cols>
    <col min="1" max="1" width="9.140625" customWidth="1"/>
    <col min="2" max="5" width="11.85546875" customWidth="1"/>
  </cols>
  <sheetData>
    <row r="1" spans="1:5" ht="15.75" thickBot="1" x14ac:dyDescent="0.3"/>
    <row r="2" spans="1:5" s="45" customFormat="1" ht="15.75" thickBot="1" x14ac:dyDescent="0.3">
      <c r="B2" s="46" t="s">
        <v>61</v>
      </c>
      <c r="C2" s="47" t="s">
        <v>62</v>
      </c>
      <c r="D2" s="48" t="s">
        <v>62</v>
      </c>
      <c r="E2" s="49" t="s">
        <v>62</v>
      </c>
    </row>
    <row r="3" spans="1:5" x14ac:dyDescent="0.25">
      <c r="B3" s="36" t="s">
        <v>8</v>
      </c>
      <c r="C3" s="37" t="s">
        <v>59</v>
      </c>
      <c r="D3" s="37" t="s">
        <v>59</v>
      </c>
      <c r="E3" s="38" t="s">
        <v>59</v>
      </c>
    </row>
    <row r="4" spans="1:5" x14ac:dyDescent="0.25">
      <c r="A4" s="42" t="s">
        <v>60</v>
      </c>
      <c r="B4" s="43" t="s">
        <v>8</v>
      </c>
      <c r="C4" s="42" t="s">
        <v>59</v>
      </c>
      <c r="D4" s="42" t="s">
        <v>59</v>
      </c>
      <c r="E4" s="44" t="s">
        <v>59</v>
      </c>
    </row>
    <row r="5" spans="1:5" x14ac:dyDescent="0.25">
      <c r="B5" s="36" t="s">
        <v>8</v>
      </c>
      <c r="C5" s="37" t="s">
        <v>59</v>
      </c>
      <c r="D5" s="37" t="s">
        <v>59</v>
      </c>
      <c r="E5" s="38" t="s">
        <v>59</v>
      </c>
    </row>
    <row r="6" spans="1:5" ht="15.75" thickBot="1" x14ac:dyDescent="0.3">
      <c r="B6" s="39" t="s">
        <v>8</v>
      </c>
      <c r="C6" s="40" t="s">
        <v>59</v>
      </c>
      <c r="D6" s="40" t="s">
        <v>59</v>
      </c>
      <c r="E6" s="41" t="s">
        <v>59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2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 Café Alura</vt:lpstr>
      <vt:lpstr>Produto</vt:lpstr>
      <vt:lpstr>Fornecedor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Matheus Rodrigues</cp:lastModifiedBy>
  <cp:revision/>
  <dcterms:created xsi:type="dcterms:W3CDTF">2022-11-17T13:49:56Z</dcterms:created>
  <dcterms:modified xsi:type="dcterms:W3CDTF">2025-11-18T18:23:13Z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